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市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<sst xmlns="http://schemas.openxmlformats.org/spreadsheetml/2006/main" count="65" uniqueCount="50">
  <si>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序号</t>
  </si>
  <si>
    <t>设备名称</t>
  </si>
  <si>
    <t>品牌</t>
  </si>
  <si>
    <t>型号</t>
  </si>
  <si>
    <t>单位</t>
  </si>
  <si>
    <t>数量</t>
  </si>
  <si>
    <t>单价</t>
  </si>
  <si>
    <t>总价</t>
  </si>
  <si>
    <t>网络机柜</t>
  </si>
  <si>
    <t>国产</t>
  </si>
  <si>
    <t>1200*600网络机柜</t>
  </si>
  <si>
    <t>个</t>
  </si>
  <si>
    <t>插排</t>
  </si>
  <si>
    <t>10孔位</t>
  </si>
  <si>
    <t>10A</t>
  </si>
  <si>
    <t>400万摄像头</t>
  </si>
  <si>
    <t>大华</t>
  </si>
  <si>
    <t>FS-D14X-IL</t>
  </si>
  <si>
    <t>硬盘录像机</t>
  </si>
  <si>
    <t>FS-7932N-Q4</t>
  </si>
  <si>
    <t>台</t>
  </si>
  <si>
    <t>监控硬盘</t>
  </si>
  <si>
    <t>希捷</t>
  </si>
  <si>
    <t>12T</t>
  </si>
  <si>
    <t>企业路由</t>
  </si>
  <si>
    <t>tp</t>
  </si>
  <si>
    <t>TL-R476G企业级</t>
  </si>
  <si>
    <t>汇聚交换机</t>
  </si>
  <si>
    <t>华三</t>
  </si>
  <si>
    <t>H3C US124D</t>
  </si>
  <si>
    <t>8口POE交换机</t>
  </si>
  <si>
    <t>TP</t>
  </si>
  <si>
    <t>TL-ASG2210LPF</t>
  </si>
  <si>
    <t>水晶头</t>
  </si>
  <si>
    <t>大唐</t>
  </si>
  <si>
    <t>CAT5e</t>
  </si>
  <si>
    <t>网络模块</t>
  </si>
  <si>
    <t>底盒带模块</t>
  </si>
  <si>
    <t>网线</t>
  </si>
  <si>
    <t>海康威视</t>
  </si>
  <si>
    <t>米</t>
  </si>
  <si>
    <t>辅材</t>
  </si>
  <si>
    <t>PVC管，弯头直通等安装材料</t>
  </si>
  <si>
    <t>套</t>
  </si>
  <si>
    <t>施工</t>
  </si>
  <si>
    <t>定制</t>
  </si>
  <si>
    <t>次</t>
  </si>
  <si>
    <t>摄像机支架</t>
  </si>
  <si>
    <t>定制支架</t>
  </si>
  <si>
    <t>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</si>
</sst>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name val="宋体"/>
      <charset val="134"/>
      <scheme val="minor"/>
    </font>
    <font>
      <sz val="10.5"/>
      <color rgb="FF000000"/>
      <name val="宋体"/>
      <charset val="134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F11" sqref="F11"/>
    </sheetView>
  </sheetViews>
  <sheetFormatPr defaultColWidth="8.725" defaultRowHeight="13.5" outlineLevelCol="7"/>
  <cols>
    <col min="1" max="1" width="6.275" style="1" customWidth="1"/>
    <col min="2" max="2" width="23.8166666666667" style="1" customWidth="1"/>
    <col min="3" max="3" width="10.3666666666667" style="1" customWidth="1"/>
    <col min="4" max="4" width="31.1833333333333" style="1" customWidth="1"/>
    <col min="5" max="5" width="6.275" style="1" customWidth="1"/>
    <col min="6" max="6" width="6.75" style="1" customWidth="1"/>
    <col min="7" max="7" width="10.3666666666667" style="2" customWidth="1"/>
    <col min="8" max="8" width="11.5416666666667" style="2" customWidth="1"/>
  </cols>
  <sheetData>
    <row r="1" ht="14.25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4.25" spans="1:8">
      <c r="A2" s="7">
        <v>1</v>
      </c>
      <c r="B2" s="8" t="s">
        <v>8</v>
      </c>
      <c r="C2" s="8" t="s">
        <v>9</v>
      </c>
      <c r="D2" s="8" t="s">
        <v>10</v>
      </c>
      <c r="E2" s="8" t="s">
        <v>11</v>
      </c>
      <c r="F2" s="8">
        <v>1</v>
      </c>
      <c r="G2" s="8">
        <v>780</v>
      </c>
      <c r="H2" s="8">
        <f>G2*F2</f>
        <v>780</v>
      </c>
    </row>
    <row r="3" ht="14.25" spans="1:8">
      <c r="A3" s="7">
        <v>3</v>
      </c>
      <c r="B3" s="8" t="s">
        <v>12</v>
      </c>
      <c r="C3" s="8" t="s">
        <v>13</v>
      </c>
      <c r="D3" s="8" t="s">
        <v>14</v>
      </c>
      <c r="E3" s="8" t="s">
        <v>11</v>
      </c>
      <c r="F3" s="8">
        <v>3</v>
      </c>
      <c r="G3" s="8">
        <v>42</v>
      </c>
      <c r="H3" s="8">
        <f>G3*F3</f>
        <v>126</v>
      </c>
    </row>
    <row r="4" ht="15" spans="1:8">
      <c r="A4" s="7"/>
      <c r="B4" s="8" t="s">
        <v>15</v>
      </c>
      <c r="C4" s="8" t="s">
        <v>16</v>
      </c>
      <c r="D4" s="8" t="s">
        <v>17</v>
      </c>
      <c r="E4" s="8" t="s">
        <v>11</v>
      </c>
      <c r="F4" s="8">
        <v>8</v>
      </c>
      <c r="G4" s="8">
        <v>229</v>
      </c>
      <c r="H4" s="8">
        <f>G4*F4</f>
        <v>1832</v>
      </c>
    </row>
    <row r="5" ht="15" spans="1:8">
      <c r="A5" s="9">
        <v>2</v>
      </c>
      <c r="B5" s="8" t="s">
        <v>18</v>
      </c>
      <c r="C5" s="8" t="s">
        <v>16</v>
      </c>
      <c r="D5" s="8" t="s">
        <v>19</v>
      </c>
      <c r="E5" s="8" t="s">
        <v>20</v>
      </c>
      <c r="F5" s="8">
        <v>1</v>
      </c>
      <c r="G5" s="8">
        <v>1590</v>
      </c>
      <c r="H5" s="8">
        <f>G5*F5</f>
        <v>1590</v>
      </c>
    </row>
    <row r="6" ht="15" spans="1:8">
      <c r="A6" s="9">
        <v>3</v>
      </c>
      <c r="B6" s="8" t="s">
        <v>21</v>
      </c>
      <c r="C6" s="8" t="s">
        <v>22</v>
      </c>
      <c r="D6" s="8" t="s">
        <v>23</v>
      </c>
      <c r="E6" s="8" t="s">
        <v>11</v>
      </c>
      <c r="F6" s="8">
        <v>1</v>
      </c>
      <c r="G6" s="8">
        <v>1680</v>
      </c>
      <c r="H6" s="8">
        <f>G6*F6</f>
        <v>1680</v>
      </c>
    </row>
    <row r="7" ht="14.25" spans="1:8">
      <c r="A7" s="10">
        <v>7</v>
      </c>
      <c r="B7" s="8" t="s">
        <v>24</v>
      </c>
      <c r="C7" s="8" t="s">
        <v>25</v>
      </c>
      <c r="D7" s="8" t="s">
        <v>26</v>
      </c>
      <c r="E7" s="8" t="s">
        <v>11</v>
      </c>
      <c r="F7" s="8">
        <v>1</v>
      </c>
      <c r="G7" s="8">
        <v>460</v>
      </c>
      <c r="H7" s="8">
        <f>G7*F7</f>
        <v>460</v>
      </c>
    </row>
    <row r="8" ht="14.25" spans="1:8">
      <c r="A8" s="7">
        <v>6</v>
      </c>
      <c r="B8" s="8" t="s">
        <v>27</v>
      </c>
      <c r="C8" s="8" t="s">
        <v>28</v>
      </c>
      <c r="D8" s="8" t="s">
        <v>29</v>
      </c>
      <c r="E8" s="8" t="s">
        <v>11</v>
      </c>
      <c r="F8" s="8">
        <v>3</v>
      </c>
      <c r="G8" s="8">
        <v>862</v>
      </c>
      <c r="H8" s="8">
        <f>G8*F8</f>
        <v>2586</v>
      </c>
    </row>
    <row r="9" ht="14.25" spans="1:8">
      <c r="A9" s="7">
        <v>7</v>
      </c>
      <c r="B9" s="8" t="s">
        <v>30</v>
      </c>
      <c r="C9" s="8" t="s">
        <v>31</v>
      </c>
      <c r="D9" s="8" t="s">
        <v>32</v>
      </c>
      <c r="E9" s="8" t="s">
        <v>20</v>
      </c>
      <c r="F9" s="8">
        <v>5</v>
      </c>
      <c r="G9" s="8">
        <v>376</v>
      </c>
      <c r="H9" s="8">
        <f>G9*F9</f>
        <v>1880</v>
      </c>
    </row>
    <row r="10" ht="14.25" spans="1:8">
      <c r="A10" s="7">
        <v>12</v>
      </c>
      <c r="B10" s="8" t="s">
        <v>33</v>
      </c>
      <c r="C10" s="8" t="s">
        <v>34</v>
      </c>
      <c r="D10" s="8" t="s">
        <v>35</v>
      </c>
      <c r="E10" s="8" t="s">
        <v>11</v>
      </c>
      <c r="F10" s="8">
        <f>32*4</f>
        <v>128</v>
      </c>
      <c r="G10" s="8">
        <v>2</v>
      </c>
      <c r="H10" s="8">
        <f t="shared" ref="H10:H17" si="0">G10*F10</f>
        <v>256</v>
      </c>
    </row>
    <row r="11" ht="14.25" spans="1:8">
      <c r="A11" s="7">
        <v>13</v>
      </c>
      <c r="B11" s="8" t="s">
        <v>36</v>
      </c>
      <c r="C11" s="8" t="s">
        <v>34</v>
      </c>
      <c r="D11" s="8" t="s">
        <v>37</v>
      </c>
      <c r="E11" s="8" t="s">
        <v>11</v>
      </c>
      <c r="F11" s="8">
        <v>32</v>
      </c>
      <c r="G11" s="8">
        <v>22</v>
      </c>
      <c r="H11" s="8">
        <f t="shared" si="0"/>
        <v>704</v>
      </c>
    </row>
    <row r="12" ht="14.25" spans="1:8">
      <c r="A12" s="7">
        <v>14</v>
      </c>
      <c r="B12" s="8" t="s">
        <v>38</v>
      </c>
      <c r="C12" s="8" t="s">
        <v>39</v>
      </c>
      <c r="D12" s="8" t="s">
        <v>35</v>
      </c>
      <c r="E12" s="8" t="s">
        <v>40</v>
      </c>
      <c r="F12" s="8">
        <f>44*(37+70)</f>
        <v>4708</v>
      </c>
      <c r="G12" s="8">
        <v>2</v>
      </c>
      <c r="H12" s="8">
        <f t="shared" si="0"/>
        <v>9416</v>
      </c>
    </row>
    <row r="13" ht="14.25" spans="1:8">
      <c r="A13" s="7">
        <v>18</v>
      </c>
      <c r="B13" s="8" t="s">
        <v>41</v>
      </c>
      <c r="C13" s="8" t="s">
        <v>9</v>
      </c>
      <c r="D13" s="8" t="s">
        <v>42</v>
      </c>
      <c r="E13" s="8" t="s">
        <v>43</v>
      </c>
      <c r="F13" s="8">
        <v>1</v>
      </c>
      <c r="G13" s="8">
        <v>3600</v>
      </c>
      <c r="H13" s="8">
        <f>G13*F13</f>
        <v>3600</v>
      </c>
    </row>
    <row r="14" ht="14.25" spans="1:8">
      <c r="A14" s="7">
        <v>19</v>
      </c>
      <c r="B14" s="8" t="s">
        <v>44</v>
      </c>
      <c r="C14" s="8" t="s">
        <v>9</v>
      </c>
      <c r="D14" s="8" t="s">
        <v>45</v>
      </c>
      <c r="E14" s="8" t="s">
        <v>46</v>
      </c>
      <c r="F14" s="8">
        <v>1</v>
      </c>
      <c r="G14" s="8">
        <f>300*4*4</f>
        <v>4800</v>
      </c>
      <c r="H14" s="8">
        <f>G14*F14</f>
        <v>4800</v>
      </c>
    </row>
    <row r="15" ht="14.25" spans="1:8">
      <c r="A15" s="10">
        <v>4</v>
      </c>
      <c r="B15" s="8" t="s">
        <v>47</v>
      </c>
      <c r="C15" s="8" t="s">
        <v>9</v>
      </c>
      <c r="D15" s="8" t="s">
        <v>48</v>
      </c>
      <c r="E15" s="8" t="s">
        <v>11</v>
      </c>
      <c r="F15" s="8">
        <v>8</v>
      </c>
      <c r="G15" s="8">
        <v>30</v>
      </c>
      <c r="H15" s="8">
        <f>G15*F15</f>
        <v>240</v>
      </c>
    </row>
    <row r="16" ht="14.25" spans="1:8">
      <c r="A16" s="7">
        <v>20</v>
      </c>
      <c r="B16" s="8" t="s">
        <v>49</v>
      </c>
      <c r="C16" s="8"/>
      <c r="D16" s="8">
        <v>0.06</v>
      </c>
      <c r="E16" s="8"/>
      <c r="F16" s="8">
        <v>1</v>
      </c>
      <c r="G16" s="8">
        <f>ROUND(SUM(H2:H15)*0.06,2)</f>
        <v>1797</v>
      </c>
      <c r="H16" s="8">
        <f>G16*F16</f>
        <v>1797</v>
      </c>
    </row>
    <row r="17" ht="14.25" spans="1:8">
      <c r="A17" s="7">
        <v>21</v>
      </c>
      <c r="B17" s="8"/>
      <c r="C17" s="8"/>
      <c r="D17" s="8"/>
      <c r="E17" s="8"/>
      <c r="F17" s="8"/>
      <c r="G17" s="8"/>
      <c r="H17" s="8">
        <f>SUM(H2:H16)</f>
        <v>31747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青衣江</cp:lastModifiedBy>
  <dcterms:created xsi:type="dcterms:W3CDTF">2025-06-13T09:03:00Z</dcterms:created>
  <dcterms:modified xsi:type="dcterms:W3CDTF">2025-11-16T07:16:10Z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3F0625BD4E254A82BABE46CD813D2018_13</vt:lpwstr>
  </property>
  <property fmtid="{D5CDD505-2E9C-101B-9397-08002B2CF9AE}" pid="3" name="KSOProductBuildVer">
    <vt:lpwstr>2052-12.1.0.23542</vt:lpwstr>
  </property>
</Properties>
</file>